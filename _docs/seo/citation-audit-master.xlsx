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anonical NAP" sheetId="1" state="visible" r:id="rId1"/>
    <sheet xmlns:r="http://schemas.openxmlformats.org/officeDocument/2006/relationships" name="2. Citation Audit" sheetId="2" state="visible" r:id="rId2"/>
    <sheet xmlns:r="http://schemas.openxmlformats.org/officeDocument/2006/relationships" name="3. Cleanup Plan" sheetId="3" state="visible" r:id="rId3"/>
    <sheet xmlns:r="http://schemas.openxmlformats.org/officeDocument/2006/relationships" name="4.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5F3E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4CC"/>
      </patternFill>
    </fill>
    <fill>
      <patternFill patternType="solid">
        <fgColor rgb="00FFD6D6"/>
      </patternFill>
    </fill>
    <fill>
      <patternFill patternType="solid">
        <fgColor rgb="00E6E6FA"/>
      </patternFill>
    </fill>
    <fill>
      <patternFill patternType="solid">
        <fgColor rgb="00D6F5D6"/>
      </patternFill>
    </fill>
    <fill>
      <patternFill patternType="solid">
        <fgColor rgb="00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4" borderId="0" pivotButton="0" quotePrefix="0" xfId="0"/>
    <xf numFmtId="0" fontId="3" fillId="7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70" customWidth="1" min="3" max="3"/>
  </cols>
  <sheetData>
    <row r="1">
      <c r="A1" s="1" t="inlineStr">
        <is>
          <t>Z and Z Plumbing — Canonical NAP (proposed)</t>
        </is>
      </c>
    </row>
    <row r="3">
      <c r="A3" s="2" t="inlineStr">
        <is>
          <t>Field</t>
        </is>
      </c>
      <c r="B3" s="2" t="inlineStr">
        <is>
          <t>Proposed Canonical</t>
        </is>
      </c>
      <c r="C3" s="2" t="inlineStr">
        <is>
          <t>Notes / Open Questions</t>
        </is>
      </c>
    </row>
    <row r="4">
      <c r="A4" s="3" t="inlineStr">
        <is>
          <t>Business Name</t>
        </is>
      </c>
      <c r="B4" s="4" t="inlineStr">
        <is>
          <t>Z and Z Plumbing</t>
        </is>
      </c>
      <c r="C4" s="5" t="inlineStr">
        <is>
          <t>Words 'and' not ampersand. Some directories show 'Z &amp; Z' — variance flag in directory rows.</t>
        </is>
      </c>
    </row>
    <row r="5">
      <c r="A5" s="3" t="inlineStr">
        <is>
          <t>Street Address</t>
        </is>
      </c>
      <c r="B5" s="6" t="inlineStr">
        <is>
          <t>3057 Teagarden Street</t>
        </is>
      </c>
      <c r="C5" s="7" t="inlineStr">
        <is>
          <t>PENDING JAY: site says 3057, CSLB record says 3037 Teagarden. See credentials-request-2026-05-11.md Q1.</t>
        </is>
      </c>
    </row>
    <row r="6">
      <c r="A6" s="3" t="inlineStr">
        <is>
          <t>City</t>
        </is>
      </c>
      <c r="B6" s="4" t="inlineStr">
        <is>
          <t>San Leandro</t>
        </is>
      </c>
      <c r="C6" s="5" t="inlineStr">
        <is>
          <t>Per brain file business-truth.md (2026-05-07 verified by Jordan).</t>
        </is>
      </c>
    </row>
    <row r="7">
      <c r="A7" s="3" t="inlineStr">
        <is>
          <t>State</t>
        </is>
      </c>
      <c r="B7" s="4" t="inlineStr">
        <is>
          <t>CA</t>
        </is>
      </c>
      <c r="C7" s="5" t="inlineStr"/>
    </row>
    <row r="8">
      <c r="A8" s="3" t="inlineStr">
        <is>
          <t>ZIP</t>
        </is>
      </c>
      <c r="B8" s="4" t="inlineStr">
        <is>
          <t>94577</t>
        </is>
      </c>
      <c r="C8" s="5" t="inlineStr"/>
    </row>
    <row r="9">
      <c r="A9" s="3" t="inlineStr">
        <is>
          <t>Primary Phone</t>
        </is>
      </c>
      <c r="B9" s="6" t="inlineStr">
        <is>
          <t>(510) 708-4237</t>
        </is>
      </c>
      <c r="C9" s="7" t="inlineStr">
        <is>
          <t>Direct line. Also see Q3 in credentials request — contact page footer wires click-to-call to (925) 586-3212.</t>
        </is>
      </c>
    </row>
    <row r="10">
      <c r="A10" s="3" t="inlineStr">
        <is>
          <t>Yelp Tracking Phone</t>
        </is>
      </c>
      <c r="B10" s="4" t="inlineStr">
        <is>
          <t>(341) 699-7090</t>
        </is>
      </c>
      <c r="C10" s="5" t="inlineStr">
        <is>
          <t>Per discovery — intentional tracking number, routes to a phone but creates NAP variance on Yelp only. Cleanup decision pending.</t>
        </is>
      </c>
    </row>
    <row r="11">
      <c r="A11" s="3" t="inlineStr">
        <is>
          <t>Website</t>
        </is>
      </c>
      <c r="B11" s="4" t="inlineStr">
        <is>
          <t>https://zandzplumbing.com</t>
        </is>
      </c>
      <c r="C11" s="5" t="inlineStr">
        <is>
          <t>Same domain stays through legacy → Next.js cutover.</t>
        </is>
      </c>
    </row>
    <row r="12">
      <c r="A12" s="3" t="inlineStr">
        <is>
          <t>CSLB License #</t>
        </is>
      </c>
      <c r="B12" s="4" t="inlineStr">
        <is>
          <t>896116</t>
        </is>
      </c>
      <c r="C12" s="5" t="inlineStr">
        <is>
          <t>Active. Plumbing + General Engineering classification. Verified 2026-05-11 via BuildZoom CSLB mirror.</t>
        </is>
      </c>
    </row>
    <row r="13">
      <c r="A13" s="3" t="inlineStr">
        <is>
          <t>Hours</t>
        </is>
      </c>
      <c r="B13" s="4" t="inlineStr">
        <is>
          <t>24/7 emergency · Mon–Sat 8–5 office</t>
        </is>
      </c>
      <c r="C13" s="5" t="inlineStr">
        <is>
          <t>Legacy site Rank Math schema says Mon–Sat 9–5 only — that's wrong and is the highest-leverage week-1 schema fix.</t>
        </is>
      </c>
    </row>
    <row r="14">
      <c r="A14" s="3" t="inlineStr">
        <is>
          <t>Categories</t>
        </is>
      </c>
      <c r="B14" s="4" t="inlineStr">
        <is>
          <t>Primary: Plumber. Secondaries: Drain cleaning, Sewer line repair, Water heater repair, Gas installation, Hot water system supplier, Emergency plumber, Trenchless sewer repair</t>
        </is>
      </c>
      <c r="C14" s="5" t="inlineStr">
        <is>
          <t>NO HVAC categories (Z and Z does not do HVAC per discovery confirmation). One Yelp review references HVAC — Jay confirmation pending.</t>
        </is>
      </c>
    </row>
    <row r="15">
      <c r="A15" s="3" t="inlineStr">
        <is>
          <t>Sole Owner of record</t>
        </is>
      </c>
      <c r="B15" s="4" t="inlineStr">
        <is>
          <t>Seifullah Zaki Zareef</t>
        </is>
      </c>
      <c r="C15" s="5" t="inlineStr">
        <is>
          <t>Per CSLB record. Useful for About page authority signals.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3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5" customWidth="1" min="14" max="14"/>
    <col width="60" customWidth="1" min="15" max="15"/>
    <col width="22" customWidth="1" min="16" max="16"/>
  </cols>
  <sheetData>
    <row r="1" ht="30" customHeight="1">
      <c r="A1" s="8" t="inlineStr">
        <is>
          <t>Directory</t>
        </is>
      </c>
      <c r="B1" s="8" t="inlineStr">
        <is>
          <t>Domain Authority</t>
        </is>
      </c>
      <c r="C1" s="8" t="inlineStr">
        <is>
          <t>Priority</t>
        </is>
      </c>
      <c r="D1" s="8" t="inlineStr">
        <is>
          <t>Listing URL</t>
        </is>
      </c>
      <c r="E1" s="8" t="inlineStr">
        <is>
          <t>Name Listed</t>
        </is>
      </c>
      <c r="F1" s="8" t="inlineStr">
        <is>
          <t>Address Listed</t>
        </is>
      </c>
      <c r="G1" s="8" t="inlineStr">
        <is>
          <t>Phone Listed</t>
        </is>
      </c>
      <c r="H1" s="8" t="inlineStr">
        <is>
          <t>Website Listed</t>
        </is>
      </c>
      <c r="I1" s="8" t="inlineStr">
        <is>
          <t>Hours Listed</t>
        </is>
      </c>
      <c r="J1" s="8" t="inlineStr">
        <is>
          <t>Category Listed</t>
        </is>
      </c>
      <c r="K1" s="8" t="inlineStr">
        <is>
          <t>Reviews</t>
        </is>
      </c>
      <c r="L1" s="8" t="inlineStr">
        <is>
          <t>Rating</t>
        </is>
      </c>
      <c r="M1" s="8" t="inlineStr">
        <is>
          <t>Last Verified</t>
        </is>
      </c>
      <c r="N1" s="8" t="inlineStr">
        <is>
          <t>Data Source</t>
        </is>
      </c>
      <c r="O1" s="8" t="inlineStr">
        <is>
          <t>Notes</t>
        </is>
      </c>
      <c r="P1" s="8" t="inlineStr">
        <is>
          <t>Status</t>
        </is>
      </c>
    </row>
    <row r="2" ht="85" customHeight="1">
      <c r="A2" s="9" t="inlineStr">
        <is>
          <t>Google Business Profile</t>
        </is>
      </c>
      <c r="B2" s="9" t="n">
        <v>100</v>
      </c>
      <c r="C2" s="9" t="inlineStr">
        <is>
          <t>P0</t>
        </is>
      </c>
      <c r="D2" s="9" t="inlineStr">
        <is>
          <t>https://www.google.com/search?q=Z+and+Z+Plumbing&amp;mat=CeKFZmfNyIEF</t>
        </is>
      </c>
      <c r="E2" s="9" t="inlineStr">
        <is>
          <t>Z and Z Plumbing</t>
        </is>
      </c>
      <c r="F2" s="9" t="inlineStr">
        <is>
          <t>4050 MacArthur Blvd, Oakland, CA 94619</t>
        </is>
      </c>
      <c r="G2" s="9" t="inlineStr">
        <is>
          <t>(510) 708-4237</t>
        </is>
      </c>
      <c r="H2" s="9" t="inlineStr">
        <is>
          <t>zandzplumbing.com</t>
        </is>
      </c>
      <c r="I2" s="9" t="inlineStr">
        <is>
          <t>Unknown — manager access required</t>
        </is>
      </c>
      <c r="J2" s="9" t="inlineStr">
        <is>
          <t>Plumber</t>
        </is>
      </c>
      <c r="K2" s="9" t="inlineStr">
        <is>
          <t>Unknown — manager access required</t>
        </is>
      </c>
      <c r="L2" s="9" t="inlineStr">
        <is>
          <t>Unknown</t>
        </is>
      </c>
      <c r="M2" s="9" t="inlineStr">
        <is>
          <t>2026-05-10</t>
        </is>
      </c>
      <c r="N2" s="9" t="inlineStr">
        <is>
          <t>Brain file business-truth.md + GBP listing ID 396819026713937378</t>
        </is>
      </c>
      <c r="O2" s="9" t="inlineStr">
        <is>
          <t>Manager access confirmed via jordan@tarifattar.com. Address change is the SINGLE highest-leverage GBP fix (triggers 3–7 day re-verification but cascades to ~30 downstream directories).</t>
        </is>
      </c>
      <c r="P2" s="9" t="inlineStr">
        <is>
          <t>NEEDS-FIX</t>
        </is>
      </c>
    </row>
    <row r="3" ht="85" customHeight="1">
      <c r="A3" s="9" t="inlineStr">
        <is>
          <t>Yelp</t>
        </is>
      </c>
      <c r="B3" s="9" t="n">
        <v>94</v>
      </c>
      <c r="C3" s="9" t="inlineStr">
        <is>
          <t>P0</t>
        </is>
      </c>
      <c r="D3" s="9" t="inlineStr">
        <is>
          <t>https://www.yelp.com/biz/z-and-z-plumbing-oakland-3</t>
        </is>
      </c>
      <c r="E3" s="9" t="inlineStr">
        <is>
          <t>Z and Z Plumbing</t>
        </is>
      </c>
      <c r="F3" s="9" t="inlineStr">
        <is>
          <t>4050 MacArthur Blvd, Oakland, CA 94619</t>
        </is>
      </c>
      <c r="G3" s="9" t="inlineStr">
        <is>
          <t>(341) 699-7090</t>
        </is>
      </c>
      <c r="H3" s="9" t="inlineStr">
        <is>
          <t>Unknown — needs Yelp owner access</t>
        </is>
      </c>
      <c r="I3" s="9" t="inlineStr">
        <is>
          <t>Open 24 hours daily</t>
        </is>
      </c>
      <c r="J3" s="9" t="inlineStr">
        <is>
          <t>Plumbing</t>
        </is>
      </c>
      <c r="K3" s="9" t="inlineStr">
        <is>
          <t>238</t>
        </is>
      </c>
      <c r="L3" s="9" t="inlineStr">
        <is>
          <t>4.5</t>
        </is>
      </c>
      <c r="M3" s="9" t="inlineStr">
        <is>
          <t>2026-04 (Yelp Updated April 2026)</t>
        </is>
      </c>
      <c r="N3" s="9" t="inlineStr">
        <is>
          <t>Direct Yelp URL + web search summary</t>
        </is>
      </c>
      <c r="O3" s="9" t="inlineStr">
        <is>
          <t>Wrong address (MacArthur, not Teagarden). Phone is intentional Yelp tracking number per discovery (routes to a phone but inconsistent with site/FB/GBP). 46 photos. $2K/mo Yelp Ads spend untracked. Owner access blocked — see credentials-request-2026-05-11.md.</t>
        </is>
      </c>
      <c r="P3" s="9" t="inlineStr">
        <is>
          <t>NEEDS-FIX</t>
        </is>
      </c>
    </row>
    <row r="4" ht="85" customHeight="1">
      <c r="A4" s="5" t="inlineStr">
        <is>
          <t>BBB (Better Business Bureau)</t>
        </is>
      </c>
      <c r="B4" s="5" t="n">
        <v>93</v>
      </c>
      <c r="C4" s="5" t="inlineStr">
        <is>
          <t>P0</t>
        </is>
      </c>
      <c r="D4" s="5" t="inlineStr">
        <is>
          <t>https://www.bbb.org/us/ca/san-leandro/profile/plumber/z-z-plumbing-1116-486229</t>
        </is>
      </c>
      <c r="E4" s="5" t="inlineStr">
        <is>
          <t>Z &amp; Z Plumbing</t>
        </is>
      </c>
      <c r="F4" s="5" t="inlineStr">
        <is>
          <t>San Leandro, CA (URL slug; addressId param suggests 67164 has detailed address)</t>
        </is>
      </c>
      <c r="G4" s="5" t="inlineStr">
        <is>
          <t>Unknown — page not scrapeable</t>
        </is>
      </c>
      <c r="H4" s="5" t="inlineStr">
        <is>
          <t>Unknown</t>
        </is>
      </c>
      <c r="I4" s="5" t="inlineStr">
        <is>
          <t>Unknown</t>
        </is>
      </c>
      <c r="J4" s="5" t="inlineStr">
        <is>
          <t>Plumber</t>
        </is>
      </c>
      <c r="K4" s="5" t="inlineStr">
        <is>
          <t>Unknown</t>
        </is>
      </c>
      <c r="L4" s="5" t="inlineStr">
        <is>
          <t>Unknown</t>
        </is>
      </c>
      <c r="M4" s="5" t="inlineStr">
        <is>
          <t>2026-05-11</t>
        </is>
      </c>
      <c r="N4" s="5" t="inlineStr">
        <is>
          <t>Web search summary + BBB URL inspection</t>
        </is>
      </c>
      <c r="O4" s="5" t="inlineStr">
        <is>
          <t>GOOD: BBB has already moved to San Leandro slug — previously was Oakland slug. Need to manually verify the address shown matches canonical. Brand name uses ampersand (Z &amp; Z) instead of words (Z and Z) — brand name variance flag.</t>
        </is>
      </c>
      <c r="P4" s="10" t="inlineStr">
        <is>
          <t>VERIFY-MANUALLY</t>
        </is>
      </c>
    </row>
    <row r="5" ht="85" customHeight="1">
      <c r="A5" s="5" t="inlineStr">
        <is>
          <t>Facebook Page</t>
        </is>
      </c>
      <c r="B5" s="5" t="n">
        <v>96</v>
      </c>
      <c r="C5" s="5" t="inlineStr">
        <is>
          <t>P0</t>
        </is>
      </c>
      <c r="D5" s="5" t="inlineStr">
        <is>
          <t>https://www.facebook.com/zandzplumbing/</t>
        </is>
      </c>
      <c r="E5" s="5" t="inlineStr">
        <is>
          <t>Z and Z Plumbing</t>
        </is>
      </c>
      <c r="F5" s="5" t="inlineStr">
        <is>
          <t>Unknown — page not scrapeable without auth</t>
        </is>
      </c>
      <c r="G5" s="5" t="inlineStr">
        <is>
          <t>(510) 708-4237 (per brain file)</t>
        </is>
      </c>
      <c r="H5" s="5" t="inlineStr">
        <is>
          <t>Unknown</t>
        </is>
      </c>
      <c r="I5" s="5" t="inlineStr">
        <is>
          <t>Unknown</t>
        </is>
      </c>
      <c r="J5" s="5" t="inlineStr">
        <is>
          <t>Unknown</t>
        </is>
      </c>
      <c r="K5" s="5" t="inlineStr">
        <is>
          <t>Unknown</t>
        </is>
      </c>
      <c r="L5" s="5" t="inlineStr">
        <is>
          <t>Unknown</t>
        </is>
      </c>
      <c r="M5" s="5" t="inlineStr">
        <is>
          <t>2026-05-11</t>
        </is>
      </c>
      <c r="N5" s="5" t="inlineStr">
        <is>
          <t>Web search + brain file engagement-scope-2026-05-10.md</t>
        </is>
      </c>
      <c r="O5" s="5" t="inlineStr">
        <is>
          <t>Per brain file, FB phone matches canonical (510). Page is active per FB handle @zandzplumbing.</t>
        </is>
      </c>
      <c r="P5" s="10" t="inlineStr">
        <is>
          <t>VERIFY-MANUALLY</t>
        </is>
      </c>
    </row>
    <row r="6" ht="85" customHeight="1">
      <c r="A6" s="9" t="inlineStr">
        <is>
          <t>Yellow Pages</t>
        </is>
      </c>
      <c r="B6" s="9" t="n">
        <v>80</v>
      </c>
      <c r="C6" s="9" t="inlineStr">
        <is>
          <t>P1</t>
        </is>
      </c>
      <c r="D6" s="9" t="inlineStr">
        <is>
          <t>https://www.yellowpages.com/san-leandro-ca/mip/z-and-z-plumbing-467910511</t>
        </is>
      </c>
      <c r="E6" s="9" t="inlineStr">
        <is>
          <t>Z and Z Plumbing</t>
        </is>
      </c>
      <c r="F6" s="9" t="inlineStr">
        <is>
          <t>San Leandro, CA 94577 (full street not visible in fetched shell)</t>
        </is>
      </c>
      <c r="G6" s="9" t="inlineStr">
        <is>
          <t>Unknown</t>
        </is>
      </c>
      <c r="H6" s="9" t="inlineStr">
        <is>
          <t>Unknown</t>
        </is>
      </c>
      <c r="I6" s="9" t="inlineStr">
        <is>
          <t>Unknown</t>
        </is>
      </c>
      <c r="J6" s="9" t="inlineStr">
        <is>
          <t>Building Contractors-Commercial &amp; Industrial</t>
        </is>
      </c>
      <c r="K6" s="9" t="inlineStr">
        <is>
          <t>Unknown</t>
        </is>
      </c>
      <c r="L6" s="9" t="inlineStr">
        <is>
          <t>1 star (per YP og:description)</t>
        </is>
      </c>
      <c r="M6" s="9" t="inlineStr">
        <is>
          <t>2026-05-11</t>
        </is>
      </c>
      <c r="N6" s="9" t="inlineStr">
        <is>
          <t>Direct web_fetch (shell only — full content behind JS)</t>
        </is>
      </c>
      <c r="O6" s="9" t="inlineStr">
        <is>
          <t>ZIP matches canonical. WRONG CATEGORY: filed under 'Building Contractors' not 'Plumbers'. 1-star rating per metadata is anomalous — needs human review (likely 1 review left by an unhappy customer; the rating system reads as out-of-5 not weighted).</t>
        </is>
      </c>
      <c r="P6" s="9" t="inlineStr">
        <is>
          <t>NEEDS-FIX</t>
        </is>
      </c>
    </row>
    <row r="7" ht="85" customHeight="1">
      <c r="A7" s="5" t="inlineStr">
        <is>
          <t>BuildZoom</t>
        </is>
      </c>
      <c r="B7" s="5" t="n">
        <v>64</v>
      </c>
      <c r="C7" s="5" t="inlineStr">
        <is>
          <t>P2</t>
        </is>
      </c>
      <c r="D7" s="5" t="inlineStr">
        <is>
          <t>https://www.buildzoom.com/contractor/z-z-plumbing</t>
        </is>
      </c>
      <c r="E7" s="5" t="inlineStr">
        <is>
          <t>Z &amp; Z Plumbing</t>
        </is>
      </c>
      <c r="F7" s="5" t="inlineStr">
        <is>
          <t>3037 Teagarden Street, San Leandro, CA 94577</t>
        </is>
      </c>
      <c r="G7" s="5" t="inlineStr">
        <is>
          <t>(510) 708-4237</t>
        </is>
      </c>
      <c r="H7" s="5" t="inlineStr">
        <is>
          <t>Not listed</t>
        </is>
      </c>
      <c r="I7" s="5" t="inlineStr">
        <is>
          <t>N/A</t>
        </is>
      </c>
      <c r="J7" s="5" t="inlineStr">
        <is>
          <t>Plumbing, General Engineering</t>
        </is>
      </c>
      <c r="K7" s="5" t="inlineStr">
        <is>
          <t>0</t>
        </is>
      </c>
      <c r="L7" s="5" t="inlineStr">
        <is>
          <t>N/A</t>
        </is>
      </c>
      <c r="M7" s="5" t="inlineStr">
        <is>
          <t>2026-04-08</t>
        </is>
      </c>
      <c r="N7" s="5" t="inlineStr">
        <is>
          <t>Direct web_fetch 2026-05-11</t>
        </is>
      </c>
      <c r="O7" s="5" t="inlineStr">
        <is>
          <t>AUTHORITATIVE for license info — mirrors CSLB record. Lists Sole Owner: Seifullah Zaki Zareef. License #896116 Active as of April 2026. BZ Score 112 (97th percentile of CA contractors). 447 permits on record. CRITICAL DATA POINT: BZ address = 3037 Teagarden (which is the CSLB record), differs from site's 3057 — Q1 for Jay.</t>
        </is>
      </c>
      <c r="P7" s="11" t="inlineStr">
        <is>
          <t>OK</t>
        </is>
      </c>
    </row>
    <row r="8" ht="85" customHeight="1">
      <c r="A8" s="5" t="inlineStr">
        <is>
          <t>ZoomInfo</t>
        </is>
      </c>
      <c r="B8" s="5" t="n">
        <v>89</v>
      </c>
      <c r="C8" s="5" t="inlineStr">
        <is>
          <t>P2</t>
        </is>
      </c>
      <c r="D8" s="5" t="inlineStr">
        <is>
          <t>https://www.zoominfo.com/c/z--z-plumbing-inc/411898260</t>
        </is>
      </c>
      <c r="E8" s="5" t="inlineStr">
        <is>
          <t>Z &amp; Z Plumbing</t>
        </is>
      </c>
      <c r="F8" s="5" t="inlineStr">
        <is>
          <t>Unknown — gated</t>
        </is>
      </c>
      <c r="G8" s="5" t="inlineStr">
        <is>
          <t>Unknown</t>
        </is>
      </c>
      <c r="H8" s="5" t="inlineStr">
        <is>
          <t>Unknown</t>
        </is>
      </c>
      <c r="I8" s="5" t="inlineStr">
        <is>
          <t>N/A</t>
        </is>
      </c>
      <c r="J8" s="5" t="inlineStr">
        <is>
          <t>B2B services</t>
        </is>
      </c>
      <c r="K8" s="5" t="inlineStr">
        <is>
          <t>N/A</t>
        </is>
      </c>
      <c r="L8" s="5" t="inlineStr">
        <is>
          <t>N/A</t>
        </is>
      </c>
      <c r="M8" s="5" t="inlineStr">
        <is>
          <t>2026-05-11</t>
        </is>
      </c>
      <c r="N8" s="5" t="inlineStr">
        <is>
          <t>Web search</t>
        </is>
      </c>
      <c r="O8" s="5" t="inlineStr">
        <is>
          <t>ZoomInfo is B2B-focused, lower local SEO priority. Free claim available via ZoomInfo Communities — worth claiming to lock canonical NAP.</t>
        </is>
      </c>
      <c r="P8" s="12" t="inlineStr">
        <is>
          <t>NEEDS-CLAIM</t>
        </is>
      </c>
    </row>
    <row r="9" ht="85" customHeight="1">
      <c r="A9" s="5" t="inlineStr">
        <is>
          <t>Nextdoor (business page)</t>
        </is>
      </c>
      <c r="B9" s="5" t="n">
        <v>89</v>
      </c>
      <c r="C9" s="5" t="inlineStr">
        <is>
          <t>P1</t>
        </is>
      </c>
      <c r="D9" s="5" t="inlineStr">
        <is>
          <t>https://nextdoor.com/pages/z-z-plumbing-san-leandro-ca/</t>
        </is>
      </c>
      <c r="E9" s="5" t="inlineStr">
        <is>
          <t>Z &amp; Z Plumbing</t>
        </is>
      </c>
      <c r="F9" s="5" t="inlineStr">
        <is>
          <t>San Leandro, CA (URL slug confirms)</t>
        </is>
      </c>
      <c r="G9" s="5" t="inlineStr">
        <is>
          <t>Unknown</t>
        </is>
      </c>
      <c r="H9" s="5" t="inlineStr">
        <is>
          <t>Unknown</t>
        </is>
      </c>
      <c r="I9" s="5" t="inlineStr">
        <is>
          <t>Unknown</t>
        </is>
      </c>
      <c r="J9" s="5" t="inlineStr">
        <is>
          <t>Unknown</t>
        </is>
      </c>
      <c r="K9" s="5" t="inlineStr">
        <is>
          <t>Unknown</t>
        </is>
      </c>
      <c r="L9" s="5" t="inlineStr">
        <is>
          <t>Unknown</t>
        </is>
      </c>
      <c r="M9" s="5" t="inlineStr">
        <is>
          <t>2026-05-11</t>
        </is>
      </c>
      <c r="N9" s="5" t="inlineStr">
        <is>
          <t>Web search</t>
        </is>
      </c>
      <c r="O9" s="5" t="inlineStr">
        <is>
          <t>Nextdoor is increasingly weighted for hyper-local SEO. URL slug already says San Leandro — good. Brand name uses ampersand. Direct neighborhood review-engine potential.</t>
        </is>
      </c>
      <c r="P9" s="10" t="inlineStr">
        <is>
          <t>VERIFY-MANUALLY</t>
        </is>
      </c>
    </row>
    <row r="10" ht="85" customHeight="1">
      <c r="A10" s="5" t="inlineStr">
        <is>
          <t>Yahoo Local</t>
        </is>
      </c>
      <c r="B10" s="5" t="n">
        <v>91</v>
      </c>
      <c r="C10" s="5" t="inlineStr">
        <is>
          <t>P2</t>
        </is>
      </c>
      <c r="D10" s="5" t="inlineStr">
        <is>
          <t>https://local.yahoo.com/info-135071436-Z--Z-Plumbing/</t>
        </is>
      </c>
      <c r="E10" s="5" t="inlineStr">
        <is>
          <t>Z &amp; Z Plumbing</t>
        </is>
      </c>
      <c r="F10" s="5" t="inlineStr">
        <is>
          <t>San Leandro, CA (per slug)</t>
        </is>
      </c>
      <c r="G10" s="5" t="inlineStr">
        <is>
          <t>Unknown</t>
        </is>
      </c>
      <c r="H10" s="5" t="inlineStr">
        <is>
          <t>Unknown</t>
        </is>
      </c>
      <c r="I10" s="5" t="inlineStr">
        <is>
          <t>Unknown</t>
        </is>
      </c>
      <c r="J10" s="5" t="inlineStr">
        <is>
          <t>Plumber</t>
        </is>
      </c>
      <c r="K10" s="5" t="inlineStr">
        <is>
          <t>Unknown</t>
        </is>
      </c>
      <c r="L10" s="5" t="inlineStr">
        <is>
          <t>Unknown</t>
        </is>
      </c>
      <c r="M10" s="5" t="inlineStr">
        <is>
          <t>2026-05-11</t>
        </is>
      </c>
      <c r="N10" s="5" t="inlineStr">
        <is>
          <t>Web search</t>
        </is>
      </c>
      <c r="O10" s="5" t="inlineStr">
        <is>
          <t>Yahoo Local syndicates from Yelp + own data; cleaning Yelp typically cascades here.</t>
        </is>
      </c>
      <c r="P10" s="10" t="inlineStr">
        <is>
          <t>VERIFY-MANUALLY</t>
        </is>
      </c>
    </row>
    <row r="11" ht="85" customHeight="1">
      <c r="A11" s="5" t="inlineStr">
        <is>
          <t>Homeyou</t>
        </is>
      </c>
      <c r="B11" s="5" t="n">
        <v>38</v>
      </c>
      <c r="C11" s="5" t="inlineStr">
        <is>
          <t>P3</t>
        </is>
      </c>
      <c r="D11" s="5" t="inlineStr">
        <is>
          <t>https://www.homeyou.com/z-z-plumbing-san-leandro-ca</t>
        </is>
      </c>
      <c r="E11" s="5" t="inlineStr">
        <is>
          <t>Z &amp; Z Plumbing</t>
        </is>
      </c>
      <c r="F11" s="5" t="inlineStr">
        <is>
          <t>San Leandro, CA (per slug)</t>
        </is>
      </c>
      <c r="G11" s="5" t="inlineStr">
        <is>
          <t>Unknown</t>
        </is>
      </c>
      <c r="H11" s="5" t="inlineStr">
        <is>
          <t>Unknown</t>
        </is>
      </c>
      <c r="I11" s="5" t="inlineStr">
        <is>
          <t>Unknown</t>
        </is>
      </c>
      <c r="J11" s="5" t="inlineStr">
        <is>
          <t>Plumber</t>
        </is>
      </c>
      <c r="K11" s="5" t="inlineStr">
        <is>
          <t>Unknown</t>
        </is>
      </c>
      <c r="L11" s="5" t="inlineStr">
        <is>
          <t>Unknown</t>
        </is>
      </c>
      <c r="M11" s="5" t="inlineStr">
        <is>
          <t>2026-05-11</t>
        </is>
      </c>
      <c r="N11" s="5" t="inlineStr">
        <is>
          <t>Web search</t>
        </is>
      </c>
      <c r="O11" s="5" t="inlineStr">
        <is>
          <t>Low-DA aggregator. Cleanup is low priority but free.</t>
        </is>
      </c>
      <c r="P11" s="10" t="inlineStr">
        <is>
          <t>VERIFY-MANUALLY</t>
        </is>
      </c>
    </row>
    <row r="12" ht="85" customHeight="1">
      <c r="A12" s="5" t="inlineStr">
        <is>
          <t>RocketReach</t>
        </is>
      </c>
      <c r="B12" s="5" t="n">
        <v>80</v>
      </c>
      <c r="C12" s="5" t="inlineStr">
        <is>
          <t>P3</t>
        </is>
      </c>
      <c r="D12" s="5" t="inlineStr">
        <is>
          <t>https://rocketreach.co/z-z-plumbing-inc-profile_b759359dc53e8912</t>
        </is>
      </c>
      <c r="E12" s="5" t="inlineStr">
        <is>
          <t>Z &amp; Z PLUMBING, INC.</t>
        </is>
      </c>
      <c r="F12" s="5" t="inlineStr">
        <is>
          <t>Unknown — gated</t>
        </is>
      </c>
      <c r="G12" s="5" t="inlineStr">
        <is>
          <t>Unknown</t>
        </is>
      </c>
      <c r="H12" s="5" t="inlineStr">
        <is>
          <t>Unknown</t>
        </is>
      </c>
      <c r="I12" s="5" t="inlineStr">
        <is>
          <t>N/A</t>
        </is>
      </c>
      <c r="J12" s="5" t="inlineStr">
        <is>
          <t>B2B / sales prospecting</t>
        </is>
      </c>
      <c r="K12" s="5" t="inlineStr">
        <is>
          <t>N/A</t>
        </is>
      </c>
      <c r="L12" s="5" t="inlineStr">
        <is>
          <t>N/A</t>
        </is>
      </c>
      <c r="M12" s="5" t="inlineStr">
        <is>
          <t>2026-05-11</t>
        </is>
      </c>
      <c r="N12" s="5" t="inlineStr">
        <is>
          <t>Web search</t>
        </is>
      </c>
      <c r="O12" s="5" t="inlineStr">
        <is>
          <t>B2B prospecting tool. Lists 'Z &amp; Z PLUMBING, INC.' suggesting LLC/Inc structure — Jay should confirm entity name on file. Lower priority for local SEO but legal-entity consistency matters.</t>
        </is>
      </c>
      <c r="P12" s="10" t="inlineStr">
        <is>
          <t>VERIFY-MANUALLY</t>
        </is>
      </c>
    </row>
    <row r="13" ht="85" customHeight="1">
      <c r="A13" s="5" t="inlineStr">
        <is>
          <t>Apple Business Connect (Apple Maps)</t>
        </is>
      </c>
      <c r="B13" s="5" t="n">
        <v>100</v>
      </c>
      <c r="C13" s="5" t="inlineStr">
        <is>
          <t>P1</t>
        </is>
      </c>
      <c r="D13" s="5" t="inlineStr">
        <is>
          <t>https://businessconnect.apple.com (claim from scratch)</t>
        </is>
      </c>
      <c r="E13" s="5" t="inlineStr">
        <is>
          <t>Unknown — likely unclaimed</t>
        </is>
      </c>
      <c r="F13" s="5" t="inlineStr">
        <is>
          <t>Unknown</t>
        </is>
      </c>
      <c r="G13" s="5" t="inlineStr">
        <is>
          <t>Unknown</t>
        </is>
      </c>
      <c r="H13" s="5" t="inlineStr">
        <is>
          <t>Unknown</t>
        </is>
      </c>
      <c r="I13" s="5" t="inlineStr">
        <is>
          <t>Unknown</t>
        </is>
      </c>
      <c r="J13" s="5" t="inlineStr">
        <is>
          <t>Unknown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Never</t>
        </is>
      </c>
      <c r="N13" s="5" t="inlineStr">
        <is>
          <t>Brain file — flagged unclaimed in move-forward-2026-05-10.md Block D</t>
        </is>
      </c>
      <c r="O13" s="5" t="inlineStr">
        <is>
          <t>Feeds Apple Maps + Siri. P1 because once claimed, Apple Maps becomes another high-trust citation anchor. New listings start with the correct NAP from day 1 — no later cleanup.</t>
        </is>
      </c>
      <c r="P13" s="12" t="inlineStr">
        <is>
          <t>NEEDS-CLAIM</t>
        </is>
      </c>
    </row>
    <row r="14" ht="85" customHeight="1">
      <c r="A14" s="5" t="inlineStr">
        <is>
          <t>Bing Places</t>
        </is>
      </c>
      <c r="B14" s="5" t="n">
        <v>100</v>
      </c>
      <c r="C14" s="5" t="inlineStr">
        <is>
          <t>P1</t>
        </is>
      </c>
      <c r="D14" s="5" t="inlineStr">
        <is>
          <t>https://bingplaces.com (claim from scratch)</t>
        </is>
      </c>
      <c r="E14" s="5" t="inlineStr">
        <is>
          <t>Unknown — likely unclaimed</t>
        </is>
      </c>
      <c r="F14" s="5" t="inlineStr">
        <is>
          <t>Unknown</t>
        </is>
      </c>
      <c r="G14" s="5" t="inlineStr">
        <is>
          <t>Unknown</t>
        </is>
      </c>
      <c r="H14" s="5" t="inlineStr">
        <is>
          <t>Unknown</t>
        </is>
      </c>
      <c r="I14" s="5" t="inlineStr">
        <is>
          <t>Unknown</t>
        </is>
      </c>
      <c r="J14" s="5" t="inlineStr">
        <is>
          <t>Unknown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Never</t>
        </is>
      </c>
      <c r="N14" s="5" t="inlineStr">
        <is>
          <t>Brain file — flagged unclaimed in move-forward-2026-05-10.md Block D</t>
        </is>
      </c>
      <c r="O14" s="5" t="inlineStr">
        <is>
          <t>Feeds Bing Maps + ChatGPT + Copilot + Alexa. Increasingly important for AI-assistant query surfaces. New listings start with correct NAP.</t>
        </is>
      </c>
      <c r="P14" s="12" t="inlineStr">
        <is>
          <t>NEEDS-CLAIM</t>
        </is>
      </c>
    </row>
    <row r="15" ht="85" customHeight="1">
      <c r="A15" s="5" t="inlineStr">
        <is>
          <t>Angi (formerly Angie's List)</t>
        </is>
      </c>
      <c r="B15" s="5" t="n">
        <v>92</v>
      </c>
      <c r="C15" s="5" t="inlineStr">
        <is>
          <t>P1</t>
        </is>
      </c>
      <c r="D15" s="5" t="inlineStr">
        <is>
          <t>TBD — search angi.com for Z and Z Plumbing San Leandro</t>
        </is>
      </c>
      <c r="E15" s="5" t="inlineStr">
        <is>
          <t>Unknown</t>
        </is>
      </c>
      <c r="F15" s="5" t="inlineStr">
        <is>
          <t>Unknown</t>
        </is>
      </c>
      <c r="G15" s="5" t="inlineStr">
        <is>
          <t>Unknown</t>
        </is>
      </c>
      <c r="H15" s="5" t="inlineStr">
        <is>
          <t>Unknown</t>
        </is>
      </c>
      <c r="I15" s="5" t="inlineStr">
        <is>
          <t>Unknown</t>
        </is>
      </c>
      <c r="J15" s="5" t="inlineStr">
        <is>
          <t>Unknown</t>
        </is>
      </c>
      <c r="K15" s="5" t="inlineStr">
        <is>
          <t>Unknown</t>
        </is>
      </c>
      <c r="L15" s="5" t="inlineStr">
        <is>
          <t>Unknown</t>
        </is>
      </c>
      <c r="M15" s="5" t="inlineStr">
        <is>
          <t>Never</t>
        </is>
      </c>
      <c r="N15" s="5" t="inlineStr">
        <is>
          <t>Manual research required</t>
        </is>
      </c>
      <c r="O15" s="5" t="inlineStr">
        <is>
          <t>Lead-gen platform; Z and Z may or may not have a profile. Worth claim+canonical NAP regardless. Lower SEO weight but high local-trust signal.</t>
        </is>
      </c>
      <c r="P15" s="10" t="inlineStr">
        <is>
          <t>VERIFY-MANUALLY</t>
        </is>
      </c>
    </row>
    <row r="16" ht="85" customHeight="1">
      <c r="A16" s="5" t="inlineStr">
        <is>
          <t>HomeAdvisor (now Angi)</t>
        </is>
      </c>
      <c r="B16" s="5" t="n">
        <v>92</v>
      </c>
      <c r="C16" s="5" t="inlineStr">
        <is>
          <t>P1</t>
        </is>
      </c>
      <c r="D16" s="5" t="inlineStr">
        <is>
          <t>TBD</t>
        </is>
      </c>
      <c r="E16" s="5" t="inlineStr">
        <is>
          <t>Unknown</t>
        </is>
      </c>
      <c r="F16" s="5" t="inlineStr">
        <is>
          <t>Unknown</t>
        </is>
      </c>
      <c r="G16" s="5" t="inlineStr">
        <is>
          <t>Unknown</t>
        </is>
      </c>
      <c r="H16" s="5" t="inlineStr">
        <is>
          <t>Unknown</t>
        </is>
      </c>
      <c r="I16" s="5" t="inlineStr">
        <is>
          <t>Unknown</t>
        </is>
      </c>
      <c r="J16" s="5" t="inlineStr">
        <is>
          <t>Unknown</t>
        </is>
      </c>
      <c r="K16" s="5" t="inlineStr">
        <is>
          <t>Unknown</t>
        </is>
      </c>
      <c r="L16" s="5" t="inlineStr">
        <is>
          <t>Unknown</t>
        </is>
      </c>
      <c r="M16" s="5" t="inlineStr">
        <is>
          <t>Never</t>
        </is>
      </c>
      <c r="N16" s="5" t="inlineStr">
        <is>
          <t>Manual research required</t>
        </is>
      </c>
      <c r="O16" s="5" t="inlineStr">
        <is>
          <t>HomeAdvisor merged into Angi; profile may be auto-syndicated. Confirm via Jay if there is any active lead spend here.</t>
        </is>
      </c>
      <c r="P16" s="10" t="inlineStr">
        <is>
          <t>VERIFY-MANUALLY</t>
        </is>
      </c>
    </row>
    <row r="17" ht="85" customHeight="1">
      <c r="A17" s="5" t="inlineStr">
        <is>
          <t>Thumbtack</t>
        </is>
      </c>
      <c r="B17" s="5" t="n">
        <v>87</v>
      </c>
      <c r="C17" s="5" t="inlineStr">
        <is>
          <t>P2</t>
        </is>
      </c>
      <c r="D17" s="5" t="inlineStr">
        <is>
          <t>TBD</t>
        </is>
      </c>
      <c r="E17" s="5" t="inlineStr">
        <is>
          <t>Unknown</t>
        </is>
      </c>
      <c r="F17" s="5" t="inlineStr">
        <is>
          <t>Unknown</t>
        </is>
      </c>
      <c r="G17" s="5" t="inlineStr">
        <is>
          <t>Unknown</t>
        </is>
      </c>
      <c r="H17" s="5" t="inlineStr">
        <is>
          <t>Unknown</t>
        </is>
      </c>
      <c r="I17" s="5" t="inlineStr">
        <is>
          <t>Unknown</t>
        </is>
      </c>
      <c r="J17" s="5" t="inlineStr">
        <is>
          <t>Unknown</t>
        </is>
      </c>
      <c r="K17" s="5" t="inlineStr">
        <is>
          <t>Unknown</t>
        </is>
      </c>
      <c r="L17" s="5" t="inlineStr">
        <is>
          <t>Unknown</t>
        </is>
      </c>
      <c r="M17" s="5" t="inlineStr">
        <is>
          <t>Never</t>
        </is>
      </c>
      <c r="N17" s="5" t="inlineStr">
        <is>
          <t>Manual research required</t>
        </is>
      </c>
      <c r="O17" s="5" t="inlineStr">
        <is>
          <t>Plumbing is core Thumbtack vertical. If claimed, profile is high-trust signal. If not, low-effort claim to lock canonical NAP.</t>
        </is>
      </c>
      <c r="P17" s="10" t="inlineStr">
        <is>
          <t>VERIFY-MANUALLY</t>
        </is>
      </c>
    </row>
    <row r="18" ht="85" customHeight="1">
      <c r="A18" s="5" t="inlineStr">
        <is>
          <t>Houzz</t>
        </is>
      </c>
      <c r="B18" s="5" t="n">
        <v>92</v>
      </c>
      <c r="C18" s="5" t="inlineStr">
        <is>
          <t>P3</t>
        </is>
      </c>
      <c r="D18" s="5" t="inlineStr">
        <is>
          <t>TBD</t>
        </is>
      </c>
      <c r="E18" s="5" t="inlineStr">
        <is>
          <t>Unknown</t>
        </is>
      </c>
      <c r="F18" s="5" t="inlineStr">
        <is>
          <t>Unknown</t>
        </is>
      </c>
      <c r="G18" s="5" t="inlineStr">
        <is>
          <t>Unknown</t>
        </is>
      </c>
      <c r="H18" s="5" t="inlineStr">
        <is>
          <t>Unknown</t>
        </is>
      </c>
      <c r="I18" s="5" t="inlineStr">
        <is>
          <t>Unknown</t>
        </is>
      </c>
      <c r="J18" s="5" t="inlineStr">
        <is>
          <t>Unknown</t>
        </is>
      </c>
      <c r="K18" s="5" t="inlineStr">
        <is>
          <t>Unknown</t>
        </is>
      </c>
      <c r="L18" s="5" t="inlineStr">
        <is>
          <t>Unknown</t>
        </is>
      </c>
      <c r="M18" s="5" t="inlineStr">
        <is>
          <t>Never</t>
        </is>
      </c>
      <c r="N18" s="5" t="inlineStr">
        <is>
          <t>Manual research required</t>
        </is>
      </c>
      <c r="O18" s="5" t="inlineStr">
        <is>
          <t>Houzz is design-focused — plumbing remodel adjacency. Lower local-SEO weight for an emergency-plumber service but free citation worth having.</t>
        </is>
      </c>
      <c r="P18" s="10" t="inlineStr">
        <is>
          <t>VERIFY-MANUALLY</t>
        </is>
      </c>
    </row>
    <row r="19" ht="85" customHeight="1">
      <c r="A19" s="5" t="inlineStr">
        <is>
          <t>Manta</t>
        </is>
      </c>
      <c r="B19" s="5" t="n">
        <v>81</v>
      </c>
      <c r="C19" s="5" t="inlineStr">
        <is>
          <t>P3</t>
        </is>
      </c>
      <c r="D19" s="5" t="inlineStr">
        <is>
          <t>TBD</t>
        </is>
      </c>
      <c r="E19" s="5" t="inlineStr">
        <is>
          <t>Unknown</t>
        </is>
      </c>
      <c r="F19" s="5" t="inlineStr">
        <is>
          <t>Unknown</t>
        </is>
      </c>
      <c r="G19" s="5" t="inlineStr">
        <is>
          <t>Unknown</t>
        </is>
      </c>
      <c r="H19" s="5" t="inlineStr">
        <is>
          <t>Unknown</t>
        </is>
      </c>
      <c r="I19" s="5" t="inlineStr">
        <is>
          <t>Unknown</t>
        </is>
      </c>
      <c r="J19" s="5" t="inlineStr">
        <is>
          <t>Unknown</t>
        </is>
      </c>
      <c r="K19" s="5" t="inlineStr">
        <is>
          <t>Unknown</t>
        </is>
      </c>
      <c r="L19" s="5" t="inlineStr">
        <is>
          <t>Unknown</t>
        </is>
      </c>
      <c r="M19" s="5" t="inlineStr">
        <is>
          <t>Never</t>
        </is>
      </c>
      <c r="N19" s="5" t="inlineStr">
        <is>
          <t>Manual research required</t>
        </is>
      </c>
      <c r="O19" s="5" t="inlineStr">
        <is>
          <t>B2B directory; auto-syndicates from public records. Likely has a stale auto-generated listing with old MacArthur address. Worth claiming.</t>
        </is>
      </c>
      <c r="P19" s="10" t="inlineStr">
        <is>
          <t>VERIFY-MANUALLY</t>
        </is>
      </c>
    </row>
    <row r="20" ht="85" customHeight="1">
      <c r="A20" s="5" t="inlineStr">
        <is>
          <t>Foursquare (City Guide)</t>
        </is>
      </c>
      <c r="B20" s="5" t="n">
        <v>92</v>
      </c>
      <c r="C20" s="5" t="inlineStr">
        <is>
          <t>P3</t>
        </is>
      </c>
      <c r="D20" s="5" t="inlineStr">
        <is>
          <t>TBD</t>
        </is>
      </c>
      <c r="E20" s="5" t="inlineStr">
        <is>
          <t>Unknown</t>
        </is>
      </c>
      <c r="F20" s="5" t="inlineStr">
        <is>
          <t>Unknown</t>
        </is>
      </c>
      <c r="G20" s="5" t="inlineStr">
        <is>
          <t>Unknown</t>
        </is>
      </c>
      <c r="H20" s="5" t="inlineStr">
        <is>
          <t>Unknown</t>
        </is>
      </c>
      <c r="I20" s="5" t="inlineStr">
        <is>
          <t>Unknown</t>
        </is>
      </c>
      <c r="J20" s="5" t="inlineStr">
        <is>
          <t>Unknown</t>
        </is>
      </c>
      <c r="K20" s="5" t="inlineStr">
        <is>
          <t>Unknown</t>
        </is>
      </c>
      <c r="L20" s="5" t="inlineStr">
        <is>
          <t>Unknown</t>
        </is>
      </c>
      <c r="M20" s="5" t="inlineStr">
        <is>
          <t>Never</t>
        </is>
      </c>
      <c r="N20" s="5" t="inlineStr">
        <is>
          <t>Manual research required</t>
        </is>
      </c>
      <c r="O20" s="5" t="inlineStr">
        <is>
          <t>Foursquare feeds Apple Maps + many aggregators. Worth claiming via Foursquare Business Listings.</t>
        </is>
      </c>
      <c r="P20" s="10" t="inlineStr">
        <is>
          <t>VERIFY-MANUALLY</t>
        </is>
      </c>
    </row>
    <row r="21" ht="85" customHeight="1">
      <c r="A21" s="5" t="inlineStr">
        <is>
          <t>Citysearch</t>
        </is>
      </c>
      <c r="B21" s="5" t="n">
        <v>72</v>
      </c>
      <c r="C21" s="5" t="inlineStr">
        <is>
          <t>P3</t>
        </is>
      </c>
      <c r="D21" s="5" t="inlineStr">
        <is>
          <t>TBD</t>
        </is>
      </c>
      <c r="E21" s="5" t="inlineStr">
        <is>
          <t>Unknown</t>
        </is>
      </c>
      <c r="F21" s="5" t="inlineStr">
        <is>
          <t>Unknown</t>
        </is>
      </c>
      <c r="G21" s="5" t="inlineStr">
        <is>
          <t>Unknown</t>
        </is>
      </c>
      <c r="H21" s="5" t="inlineStr">
        <is>
          <t>Unknown</t>
        </is>
      </c>
      <c r="I21" s="5" t="inlineStr">
        <is>
          <t>Unknown</t>
        </is>
      </c>
      <c r="J21" s="5" t="inlineStr">
        <is>
          <t>Unknown</t>
        </is>
      </c>
      <c r="K21" s="5" t="inlineStr">
        <is>
          <t>Unknown</t>
        </is>
      </c>
      <c r="L21" s="5" t="inlineStr">
        <is>
          <t>Unknown</t>
        </is>
      </c>
      <c r="M21" s="5" t="inlineStr">
        <is>
          <t>Never</t>
        </is>
      </c>
      <c r="N21" s="5" t="inlineStr">
        <is>
          <t>Manual research required</t>
        </is>
      </c>
      <c r="O21" s="5" t="inlineStr">
        <is>
          <t>Legacy directory; lower priority but free citation. Often auto-syndicates from older sources.</t>
        </is>
      </c>
      <c r="P21" s="10" t="inlineStr">
        <is>
          <t>VERIFY-MANUALLY</t>
        </is>
      </c>
    </row>
    <row r="22" ht="85" customHeight="1">
      <c r="A22" s="5" t="inlineStr">
        <is>
          <t>Oakland Metropolitan Chamber of Commerce</t>
        </is>
      </c>
      <c r="B22" s="5" t="n">
        <v>60</v>
      </c>
      <c r="C22" s="5" t="inlineStr">
        <is>
          <t>P2</t>
        </is>
      </c>
      <c r="D22" s="5" t="inlineStr">
        <is>
          <t>TBD — search oaklandchamber.com</t>
        </is>
      </c>
      <c r="E22" s="5" t="inlineStr">
        <is>
          <t>Unknown</t>
        </is>
      </c>
      <c r="F22" s="5" t="inlineStr">
        <is>
          <t>Unknown</t>
        </is>
      </c>
      <c r="G22" s="5" t="inlineStr">
        <is>
          <t>Unknown</t>
        </is>
      </c>
      <c r="H22" s="5" t="inlineStr">
        <is>
          <t>Unknown</t>
        </is>
      </c>
      <c r="I22" s="5" t="inlineStr">
        <is>
          <t>Unknown</t>
        </is>
      </c>
      <c r="J22" s="5" t="inlineStr">
        <is>
          <t>Unknown</t>
        </is>
      </c>
      <c r="K22" s="5" t="inlineStr">
        <is>
          <t>Unknown</t>
        </is>
      </c>
      <c r="L22" s="5" t="inlineStr">
        <is>
          <t>Unknown</t>
        </is>
      </c>
      <c r="M22" s="5" t="inlineStr">
        <is>
          <t>Never</t>
        </is>
      </c>
      <c r="N22" s="5" t="inlineStr">
        <is>
          <t>Brain file references Chamber</t>
        </is>
      </c>
      <c r="O22" s="5" t="inlineStr">
        <is>
          <t>Chamber listings are high-trust local SEO signals. If Z and Z is a member, listing exists — confirm NAP. If not a member, consider joining (~$300–500/yr) for the citation + networking + the .org backlink.</t>
        </is>
      </c>
      <c r="P22" s="10" t="inlineStr">
        <is>
          <t>VERIFY-MANUALLY</t>
        </is>
      </c>
    </row>
    <row r="23" ht="85" customHeight="1">
      <c r="A23" s="5" t="inlineStr">
        <is>
          <t>San Leandro Chamber of Commerce</t>
        </is>
      </c>
      <c r="B23" s="5" t="n">
        <v>50</v>
      </c>
      <c r="C23" s="5" t="inlineStr">
        <is>
          <t>P2</t>
        </is>
      </c>
      <c r="D23" s="5" t="inlineStr">
        <is>
          <t>TBD</t>
        </is>
      </c>
      <c r="E23" s="5" t="inlineStr">
        <is>
          <t>Unknown</t>
        </is>
      </c>
      <c r="F23" s="5" t="inlineStr">
        <is>
          <t>Unknown</t>
        </is>
      </c>
      <c r="G23" s="5" t="inlineStr">
        <is>
          <t>Unknown</t>
        </is>
      </c>
      <c r="H23" s="5" t="inlineStr">
        <is>
          <t>Unknown</t>
        </is>
      </c>
      <c r="I23" s="5" t="inlineStr">
        <is>
          <t>Unknown</t>
        </is>
      </c>
      <c r="J23" s="5" t="inlineStr">
        <is>
          <t>Unknown</t>
        </is>
      </c>
      <c r="K23" s="5" t="inlineStr">
        <is>
          <t>Unknown</t>
        </is>
      </c>
      <c r="L23" s="5" t="inlineStr">
        <is>
          <t>Unknown</t>
        </is>
      </c>
      <c r="M23" s="5" t="inlineStr">
        <is>
          <t>Never</t>
        </is>
      </c>
      <c r="N23" s="5" t="inlineStr">
        <is>
          <t>Brain file references Chamber (4.3/22 reviews on some Chamber profile)</t>
        </is>
      </c>
      <c r="O23" s="5" t="inlineStr">
        <is>
          <t>San Leandro Chamber is the LOCAL-CITY chamber — even more valuable for hyper-local SEO than the Oakland Metropolitan. Likely cheap to join ($150–300/yr). Strong .org backlink.</t>
        </is>
      </c>
      <c r="P23" s="10" t="inlineStr">
        <is>
          <t>VERIFY-MANUALLY</t>
        </is>
      </c>
    </row>
    <row r="24" ht="85" customHeight="1">
      <c r="A24" s="5" t="inlineStr">
        <is>
          <t>Cozywise</t>
        </is>
      </c>
      <c r="B24" s="5" t="n">
        <v>35</v>
      </c>
      <c r="C24" s="5" t="inlineStr">
        <is>
          <t>P3</t>
        </is>
      </c>
      <c r="D24" s="5" t="inlineStr">
        <is>
          <t>TBD</t>
        </is>
      </c>
      <c r="E24" s="5" t="inlineStr">
        <is>
          <t>Z and Z Plumbing</t>
        </is>
      </c>
      <c r="F24" s="5" t="inlineStr">
        <is>
          <t>Unknown</t>
        </is>
      </c>
      <c r="G24" s="5" t="inlineStr">
        <is>
          <t>Unknown</t>
        </is>
      </c>
      <c r="H24" s="5" t="inlineStr">
        <is>
          <t>Unknown</t>
        </is>
      </c>
      <c r="I24" s="5" t="inlineStr">
        <is>
          <t>Unknown</t>
        </is>
      </c>
      <c r="J24" s="5" t="inlineStr">
        <is>
          <t>Plumber</t>
        </is>
      </c>
      <c r="K24" s="5" t="inlineStr">
        <is>
          <t>14 (per brain file; likely syndicated)</t>
        </is>
      </c>
      <c r="L24" s="5" t="inlineStr">
        <is>
          <t>Unknown</t>
        </is>
      </c>
      <c r="M24" s="5" t="inlineStr">
        <is>
          <t>Never</t>
        </is>
      </c>
      <c r="N24" s="5" t="inlineStr">
        <is>
          <t>Brain file engagement-scope-2026-05-10.md</t>
        </is>
      </c>
      <c r="O24" s="5" t="inlineStr">
        <is>
          <t>Per brain file Cozywise shows 14 reviews — likely a syndicated number, not unique. Low-DA, low-priority.</t>
        </is>
      </c>
      <c r="P24" s="10" t="inlineStr">
        <is>
          <t>VERIFY-MANUALLY</t>
        </is>
      </c>
    </row>
    <row r="25" ht="85" customHeight="1">
      <c r="A25" s="5" t="inlineStr">
        <is>
          <t>PHCC (Plumbing-Heating-Cooling Contractors)</t>
        </is>
      </c>
      <c r="B25" s="5" t="n">
        <v>55</v>
      </c>
      <c r="C25" s="5" t="inlineStr">
        <is>
          <t>P2</t>
        </is>
      </c>
      <c r="D25" s="5" t="inlineStr">
        <is>
          <t>https://phccweb.org/find-a-contractor/</t>
        </is>
      </c>
      <c r="E25" s="5" t="inlineStr">
        <is>
          <t>Unknown</t>
        </is>
      </c>
      <c r="F25" s="5" t="inlineStr">
        <is>
          <t>Unknown</t>
        </is>
      </c>
      <c r="G25" s="5" t="inlineStr">
        <is>
          <t>Unknown</t>
        </is>
      </c>
      <c r="H25" s="5" t="inlineStr">
        <is>
          <t>Unknown</t>
        </is>
      </c>
      <c r="I25" s="5" t="inlineStr">
        <is>
          <t>N/A</t>
        </is>
      </c>
      <c r="J25" s="5" t="inlineStr">
        <is>
          <t>Plumbing-Heating-Cooling Contractor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Never</t>
        </is>
      </c>
      <c r="N25" s="5" t="inlineStr">
        <is>
          <t>Trade association</t>
        </is>
      </c>
      <c r="O25" s="5" t="inlineStr">
        <is>
          <t>Trade association directory. Strong industry-authority signal. Membership is paid (~$400–600/yr) but worth it for the .org backlink + entity-graph signal (Wikidata + Knowledge Graph crawlers pull from association sites).</t>
        </is>
      </c>
      <c r="P25" s="12" t="inlineStr">
        <is>
          <t>NEEDS-CLAIM</t>
        </is>
      </c>
    </row>
    <row r="26" ht="85" customHeight="1">
      <c r="A26" s="5" t="inlineStr">
        <is>
          <t>ASA Bay Area (American Subcontractors Association)</t>
        </is>
      </c>
      <c r="B26" s="5" t="n">
        <v>40</v>
      </c>
      <c r="C26" s="5" t="inlineStr">
        <is>
          <t>P3</t>
        </is>
      </c>
      <c r="D26" s="5" t="inlineStr">
        <is>
          <t>https://asaba.org</t>
        </is>
      </c>
      <c r="E26" s="5" t="inlineStr">
        <is>
          <t>Unknown</t>
        </is>
      </c>
      <c r="F26" s="5" t="inlineStr">
        <is>
          <t>Unknown</t>
        </is>
      </c>
      <c r="G26" s="5" t="inlineStr">
        <is>
          <t>Unknown</t>
        </is>
      </c>
      <c r="H26" s="5" t="inlineStr">
        <is>
          <t>Unknown</t>
        </is>
      </c>
      <c r="I26" s="5" t="inlineStr">
        <is>
          <t>N/A</t>
        </is>
      </c>
      <c r="J26" s="5" t="inlineStr">
        <is>
          <t>Subcontractor</t>
        </is>
      </c>
      <c r="K26" s="5" t="inlineStr">
        <is>
          <t>N/A</t>
        </is>
      </c>
      <c r="L26" s="5" t="inlineStr">
        <is>
          <t>N/A</t>
        </is>
      </c>
      <c r="M26" s="5" t="inlineStr">
        <is>
          <t>Never</t>
        </is>
      </c>
      <c r="N26" s="5" t="inlineStr">
        <is>
          <t>Brain file backlink list</t>
        </is>
      </c>
      <c r="O26" s="5" t="inlineStr">
        <is>
          <t>Commercial-subcontractor-focused. Z and Z's commercial-services positioning makes this directory valuable.</t>
        </is>
      </c>
      <c r="P26" s="10" t="inlineStr">
        <is>
          <t>VERIFY-MANUALLY</t>
        </is>
      </c>
    </row>
    <row r="27" ht="85" customHeight="1">
      <c r="A27" s="5" t="inlineStr">
        <is>
          <t>Diamond Certified (Bay Area trust mark)</t>
        </is>
      </c>
      <c r="B27" s="5" t="n">
        <v>53</v>
      </c>
      <c r="C27" s="5" t="inlineStr">
        <is>
          <t>P3</t>
        </is>
      </c>
      <c r="D27" s="5" t="inlineStr">
        <is>
          <t>https://www.diamondcertified.org</t>
        </is>
      </c>
      <c r="E27" s="5" t="inlineStr">
        <is>
          <t>Unknown</t>
        </is>
      </c>
      <c r="F27" s="5" t="inlineStr">
        <is>
          <t>Unknown</t>
        </is>
      </c>
      <c r="G27" s="5" t="inlineStr">
        <is>
          <t>Unknown</t>
        </is>
      </c>
      <c r="H27" s="5" t="inlineStr">
        <is>
          <t>Unknown</t>
        </is>
      </c>
      <c r="I27" s="5" t="inlineStr">
        <is>
          <t>N/A</t>
        </is>
      </c>
      <c r="J27" s="5" t="inlineStr">
        <is>
          <t>Plumber</t>
        </is>
      </c>
      <c r="K27" s="5" t="inlineStr">
        <is>
          <t>N/A</t>
        </is>
      </c>
      <c r="L27" s="5" t="inlineStr">
        <is>
          <t>N/A</t>
        </is>
      </c>
      <c r="M27" s="5" t="inlineStr">
        <is>
          <t>Never</t>
        </is>
      </c>
      <c r="N27" s="5" t="inlineStr">
        <is>
          <t>Competitor analysis (Albert Nahman is Diamond Certified)</t>
        </is>
      </c>
      <c r="O27" s="5" t="inlineStr">
        <is>
          <t>Bay Area-specific trust mark. Albert Nahman uses this prominently ('Diamond Certified 20 years'). Z and Z is NOT Diamond Certified per current data — pursuing certification could close a competitive gap (involves customer-survey audit, paid certification).</t>
        </is>
      </c>
      <c r="P27" s="11" t="inlineStr">
        <is>
          <t>OK</t>
        </is>
      </c>
    </row>
    <row r="28" ht="85" customHeight="1">
      <c r="A28" s="5" t="inlineStr">
        <is>
          <t>BNI (Business Network International) chapters</t>
        </is>
      </c>
      <c r="B28" s="5" t="n">
        <v>65</v>
      </c>
      <c r="C28" s="5" t="inlineStr">
        <is>
          <t>P3</t>
        </is>
      </c>
      <c r="D28" s="5" t="inlineStr">
        <is>
          <t>https://bni.com</t>
        </is>
      </c>
      <c r="E28" s="5" t="inlineStr">
        <is>
          <t>Unknown</t>
        </is>
      </c>
      <c r="F28" s="5" t="inlineStr">
        <is>
          <t>Unknown</t>
        </is>
      </c>
      <c r="G28" s="5" t="inlineStr">
        <is>
          <t>Unknown</t>
        </is>
      </c>
      <c r="H28" s="5" t="inlineStr">
        <is>
          <t>Unknown</t>
        </is>
      </c>
      <c r="I28" s="5" t="inlineStr">
        <is>
          <t>N/A</t>
        </is>
      </c>
      <c r="J28" s="5" t="inlineStr">
        <is>
          <t>Networking</t>
        </is>
      </c>
      <c r="K28" s="5" t="inlineStr">
        <is>
          <t>N/A</t>
        </is>
      </c>
      <c r="L28" s="5" t="inlineStr">
        <is>
          <t>N/A</t>
        </is>
      </c>
      <c r="M28" s="5" t="inlineStr">
        <is>
          <t>Never</t>
        </is>
      </c>
      <c r="N28" s="5" t="inlineStr">
        <is>
          <t>Brain file backlink list</t>
        </is>
      </c>
      <c r="O28" s="5" t="inlineStr">
        <is>
          <t>Per-chapter local-Oakland or East-Bay BNI chapter membership = local-citation + relationship-based referral source.</t>
        </is>
      </c>
      <c r="P28" s="10" t="inlineStr">
        <is>
          <t>VERIFY-MANUALLY</t>
        </is>
      </c>
    </row>
    <row r="29" ht="85" customHeight="1">
      <c r="A29" s="5" t="inlineStr">
        <is>
          <t>Cience</t>
        </is>
      </c>
      <c r="B29" s="5" t="n">
        <v>38</v>
      </c>
      <c r="C29" s="5" t="inlineStr">
        <is>
          <t>P3</t>
        </is>
      </c>
      <c r="D29" s="5" t="inlineStr">
        <is>
          <t>https://www.cience.com/company/z-z-plumbing/4743466608402284052</t>
        </is>
      </c>
      <c r="E29" s="5" t="inlineStr">
        <is>
          <t>Z &amp; z plumbing</t>
        </is>
      </c>
      <c r="F29" s="5" t="inlineStr">
        <is>
          <t>Unknown</t>
        </is>
      </c>
      <c r="G29" s="5" t="inlineStr">
        <is>
          <t>Unknown</t>
        </is>
      </c>
      <c r="H29" s="5" t="inlineStr">
        <is>
          <t>Unknown</t>
        </is>
      </c>
      <c r="I29" s="5" t="inlineStr">
        <is>
          <t>N/A</t>
        </is>
      </c>
      <c r="J29" s="5" t="inlineStr">
        <is>
          <t>B2B services</t>
        </is>
      </c>
      <c r="K29" s="5" t="inlineStr">
        <is>
          <t>N/A</t>
        </is>
      </c>
      <c r="L29" s="5" t="inlineStr">
        <is>
          <t>N/A</t>
        </is>
      </c>
      <c r="M29" s="5" t="inlineStr">
        <is>
          <t>2026-05-11</t>
        </is>
      </c>
      <c r="N29" s="5" t="inlineStr">
        <is>
          <t>Web search</t>
        </is>
      </c>
      <c r="O29" s="5" t="inlineStr">
        <is>
          <t>B2B data aggregator; auto-generated from public records. Name capitalization is inconsistent ('Z &amp; z plumbing'). Low priority but cleanup request worth submitting if they have a portal.</t>
        </is>
      </c>
      <c r="P29" s="10" t="inlineStr">
        <is>
          <t>VERIFY-MANUALLY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0" customWidth="1" min="3" max="3"/>
    <col width="25" customWidth="1" min="4" max="4"/>
    <col width="30" customWidth="1" min="5" max="5"/>
  </cols>
  <sheetData>
    <row r="1">
      <c r="A1" s="1" t="inlineStr">
        <is>
          <t>Citation Cleanup Action Plan — execution order</t>
        </is>
      </c>
    </row>
    <row r="3">
      <c r="A3" s="2" t="inlineStr">
        <is>
          <t>#</t>
        </is>
      </c>
      <c r="B3" s="2" t="inlineStr">
        <is>
          <t>Tier</t>
        </is>
      </c>
      <c r="C3" s="2" t="inlineStr">
        <is>
          <t>Action</t>
        </is>
      </c>
      <c r="D3" s="2" t="inlineStr">
        <is>
          <t>Owner</t>
        </is>
      </c>
      <c r="E3" s="2" t="inlineStr">
        <is>
          <t>Dependency</t>
        </is>
      </c>
    </row>
    <row r="4" ht="32" customHeight="1">
      <c r="A4" s="4" t="n">
        <v>1</v>
      </c>
      <c r="B4" s="13" t="inlineStr">
        <is>
          <t>P0</t>
        </is>
      </c>
      <c r="C4" s="5" t="inlineStr">
        <is>
          <t>Resolve Teagarden address: 3037 vs 3057 — Jay confirms which is canonical</t>
        </is>
      </c>
      <c r="D4" s="4" t="inlineStr">
        <is>
          <t>Jay</t>
        </is>
      </c>
      <c r="E4" s="4" t="inlineStr">
        <is>
          <t>—</t>
        </is>
      </c>
    </row>
    <row r="5" ht="32" customHeight="1">
      <c r="A5" s="4" t="n">
        <v>2</v>
      </c>
      <c r="B5" s="13" t="inlineStr">
        <is>
          <t>P0</t>
        </is>
      </c>
      <c r="C5" s="5" t="inlineStr">
        <is>
          <t>Update GBP address from 4050 MacArthur Oakland → Teagarden (confirmed digit) San Leandro · accept Google re-verification (postcard or video)</t>
        </is>
      </c>
      <c r="D5" s="4" t="inlineStr">
        <is>
          <t>Jordan</t>
        </is>
      </c>
      <c r="E5" s="4" t="inlineStr">
        <is>
          <t>#1 confirmed</t>
        </is>
      </c>
    </row>
    <row r="6" ht="32" customHeight="1">
      <c r="A6" s="4" t="n">
        <v>3</v>
      </c>
      <c r="B6" s="13" t="inlineStr">
        <is>
          <t>P0</t>
        </is>
      </c>
      <c r="C6" s="5" t="inlineStr">
        <is>
          <t>Update Yelp address (cascades to ~30 downstream directories via Yelp scrapers)</t>
        </is>
      </c>
      <c r="D6" s="4" t="inlineStr">
        <is>
          <t>Jordan</t>
        </is>
      </c>
      <c r="E6" s="4" t="inlineStr">
        <is>
          <t>Yelp Business Owner access (Jay #4 in cred request)</t>
        </is>
      </c>
    </row>
    <row r="7" ht="32" customHeight="1">
      <c r="A7" s="4" t="n">
        <v>4</v>
      </c>
      <c r="B7" s="13" t="inlineStr">
        <is>
          <t>P0</t>
        </is>
      </c>
      <c r="C7" s="5" t="inlineStr">
        <is>
          <t>BBB profile address verification + correction</t>
        </is>
      </c>
      <c r="D7" s="4" t="inlineStr">
        <is>
          <t>Jordan</t>
        </is>
      </c>
      <c r="E7" s="4" t="inlineStr">
        <is>
          <t>#1 confirmed</t>
        </is>
      </c>
    </row>
    <row r="8" ht="32" customHeight="1">
      <c r="A8" s="4" t="n">
        <v>5</v>
      </c>
      <c r="B8" s="13" t="inlineStr">
        <is>
          <t>P0</t>
        </is>
      </c>
      <c r="C8" s="5" t="inlineStr">
        <is>
          <t>Facebook Page address + hours sync to canonical</t>
        </is>
      </c>
      <c r="D8" s="4" t="inlineStr">
        <is>
          <t>Jordan</t>
        </is>
      </c>
      <c r="E8" s="4" t="inlineStr">
        <is>
          <t>#1 confirmed + FB page admin access</t>
        </is>
      </c>
    </row>
    <row r="9" ht="32" customHeight="1">
      <c r="A9" s="4" t="n">
        <v>6</v>
      </c>
      <c r="B9" s="13" t="inlineStr">
        <is>
          <t>P0</t>
        </is>
      </c>
      <c r="C9" s="5" t="inlineStr">
        <is>
          <t>If CSLB address differs from operational, file CSLB address-change form</t>
        </is>
      </c>
      <c r="D9" s="4" t="inlineStr">
        <is>
          <t>Jay (signed) → Jordan (file)</t>
        </is>
      </c>
      <c r="E9" s="4" t="inlineStr">
        <is>
          <t>#1 confirmed</t>
        </is>
      </c>
    </row>
    <row r="10" ht="32" customHeight="1">
      <c r="A10" s="4" t="n">
        <v>7</v>
      </c>
      <c r="B10" s="14" t="inlineStr">
        <is>
          <t>P1</t>
        </is>
      </c>
      <c r="C10" s="5" t="inlineStr">
        <is>
          <t>Claim Apple Business Connect with canonical NAP (fresh, no cleanup needed)</t>
        </is>
      </c>
      <c r="D10" s="4" t="inlineStr">
        <is>
          <t>Jordan</t>
        </is>
      </c>
      <c r="E10" s="4" t="inlineStr">
        <is>
          <t>—</t>
        </is>
      </c>
    </row>
    <row r="11" ht="32" customHeight="1">
      <c r="A11" s="4" t="n">
        <v>8</v>
      </c>
      <c r="B11" s="14" t="inlineStr">
        <is>
          <t>P1</t>
        </is>
      </c>
      <c r="C11" s="5" t="inlineStr">
        <is>
          <t>Claim Bing Places with canonical NAP (fresh, no cleanup needed)</t>
        </is>
      </c>
      <c r="D11" s="4" t="inlineStr">
        <is>
          <t>Jordan</t>
        </is>
      </c>
      <c r="E11" s="4" t="inlineStr">
        <is>
          <t>—</t>
        </is>
      </c>
    </row>
    <row r="12" ht="32" customHeight="1">
      <c r="A12" s="4" t="n">
        <v>9</v>
      </c>
      <c r="B12" s="14" t="inlineStr">
        <is>
          <t>P1</t>
        </is>
      </c>
      <c r="C12" s="5" t="inlineStr">
        <is>
          <t>Yellow Pages: fix category from 'Building Contractors' to 'Plumbers' + verify address</t>
        </is>
      </c>
      <c r="D12" s="4" t="inlineStr">
        <is>
          <t>Jordan</t>
        </is>
      </c>
      <c r="E12" s="4" t="inlineStr">
        <is>
          <t>#1 confirmed</t>
        </is>
      </c>
    </row>
    <row r="13" ht="32" customHeight="1">
      <c r="A13" s="4" t="n">
        <v>10</v>
      </c>
      <c r="B13" s="14" t="inlineStr">
        <is>
          <t>P1</t>
        </is>
      </c>
      <c r="C13" s="5" t="inlineStr">
        <is>
          <t>Nextdoor business page: verify NAP + claim if not claimed</t>
        </is>
      </c>
      <c r="D13" s="4" t="inlineStr">
        <is>
          <t>Jordan</t>
        </is>
      </c>
      <c r="E13" s="4" t="inlineStr">
        <is>
          <t>#1 confirmed</t>
        </is>
      </c>
    </row>
    <row r="14" ht="32" customHeight="1">
      <c r="A14" s="4" t="n">
        <v>11</v>
      </c>
      <c r="B14" s="14" t="inlineStr">
        <is>
          <t>P1</t>
        </is>
      </c>
      <c r="C14" s="5" t="inlineStr">
        <is>
          <t>Apple/Bing-fed downstream aggregators auto-update over 14–30 days post-claim</t>
        </is>
      </c>
      <c r="D14" s="4" t="inlineStr">
        <is>
          <t>Auto</t>
        </is>
      </c>
      <c r="E14" s="4" t="inlineStr">
        <is>
          <t>#7, #8</t>
        </is>
      </c>
    </row>
    <row r="15" ht="32" customHeight="1">
      <c r="A15" s="4" t="n">
        <v>12</v>
      </c>
      <c r="B15" s="15" t="inlineStr">
        <is>
          <t>P2</t>
        </is>
      </c>
      <c r="C15" s="5" t="inlineStr">
        <is>
          <t>Yahoo Local: sync to Yelp once Yelp is corrected</t>
        </is>
      </c>
      <c r="D15" s="4" t="inlineStr">
        <is>
          <t>Auto / Jordan verify</t>
        </is>
      </c>
      <c r="E15" s="4" t="inlineStr">
        <is>
          <t>#3</t>
        </is>
      </c>
    </row>
    <row r="16" ht="32" customHeight="1">
      <c r="A16" s="4" t="n">
        <v>13</v>
      </c>
      <c r="B16" s="15" t="inlineStr">
        <is>
          <t>P2</t>
        </is>
      </c>
      <c r="C16" s="5" t="inlineStr">
        <is>
          <t>ZoomInfo, RocketReach, Cience: submit correction forms or claim profiles</t>
        </is>
      </c>
      <c r="D16" s="4" t="inlineStr">
        <is>
          <t>Jordan</t>
        </is>
      </c>
      <c r="E16" s="4" t="inlineStr">
        <is>
          <t>#1 confirmed</t>
        </is>
      </c>
    </row>
    <row r="17" ht="32" customHeight="1">
      <c r="A17" s="4" t="n">
        <v>14</v>
      </c>
      <c r="B17" s="15" t="inlineStr">
        <is>
          <t>P2</t>
        </is>
      </c>
      <c r="C17" s="5" t="inlineStr">
        <is>
          <t>Angi / HomeAdvisor: research existence + claim</t>
        </is>
      </c>
      <c r="D17" s="4" t="inlineStr">
        <is>
          <t>Jordan</t>
        </is>
      </c>
      <c r="E17" s="4" t="inlineStr">
        <is>
          <t>—</t>
        </is>
      </c>
    </row>
    <row r="18" ht="32" customHeight="1">
      <c r="A18" s="4" t="n">
        <v>15</v>
      </c>
      <c r="B18" s="15" t="inlineStr">
        <is>
          <t>P2</t>
        </is>
      </c>
      <c r="C18" s="5" t="inlineStr">
        <is>
          <t>Thumbtack: research existence + claim</t>
        </is>
      </c>
      <c r="D18" s="4" t="inlineStr">
        <is>
          <t>Jordan</t>
        </is>
      </c>
      <c r="E18" s="4" t="inlineStr">
        <is>
          <t>—</t>
        </is>
      </c>
    </row>
    <row r="19" ht="32" customHeight="1">
      <c r="A19" s="4" t="n">
        <v>16</v>
      </c>
      <c r="B19" s="15" t="inlineStr">
        <is>
          <t>P2</t>
        </is>
      </c>
      <c r="C19" s="5" t="inlineStr">
        <is>
          <t>Oakland Metropolitan Chamber: confirm membership; if member, sync NAP; if not, decide on join</t>
        </is>
      </c>
      <c r="D19" s="4" t="inlineStr">
        <is>
          <t>Jay (decision) → Jordan (action)</t>
        </is>
      </c>
      <c r="E19" s="4" t="inlineStr">
        <is>
          <t>#1 confirmed</t>
        </is>
      </c>
    </row>
    <row r="20" ht="32" customHeight="1">
      <c r="A20" s="4" t="n">
        <v>17</v>
      </c>
      <c r="B20" s="15" t="inlineStr">
        <is>
          <t>P2</t>
        </is>
      </c>
      <c r="C20" s="5" t="inlineStr">
        <is>
          <t>San Leandro Chamber: confirm membership; same workflow as Oakland Chamber</t>
        </is>
      </c>
      <c r="D20" s="4" t="inlineStr">
        <is>
          <t>Jay (decision) → Jordan (action)</t>
        </is>
      </c>
      <c r="E20" s="4" t="inlineStr">
        <is>
          <t>#1 confirmed</t>
        </is>
      </c>
    </row>
    <row r="21" ht="32" customHeight="1">
      <c r="A21" s="4" t="n">
        <v>18</v>
      </c>
      <c r="B21" s="15" t="inlineStr">
        <is>
          <t>P2</t>
        </is>
      </c>
      <c r="C21" s="5" t="inlineStr">
        <is>
          <t>PHCC trade association: research membership status; if member, sync; if not, decide on join (~$400–600/yr)</t>
        </is>
      </c>
      <c r="D21" s="4" t="inlineStr">
        <is>
          <t>Jay (decision)</t>
        </is>
      </c>
      <c r="E21" s="4" t="inlineStr">
        <is>
          <t>—</t>
        </is>
      </c>
    </row>
    <row r="22" ht="32" customHeight="1">
      <c r="A22" s="4" t="n">
        <v>19</v>
      </c>
      <c r="B22" s="3" t="inlineStr">
        <is>
          <t>P3</t>
        </is>
      </c>
      <c r="C22" s="5" t="inlineStr">
        <is>
          <t>Manta, Foursquare, Citysearch, Houzz: low-priority cleanup pass once P0–P2 done</t>
        </is>
      </c>
      <c r="D22" s="4" t="inlineStr">
        <is>
          <t>Jordan</t>
        </is>
      </c>
      <c r="E22" s="4" t="inlineStr">
        <is>
          <t>All above</t>
        </is>
      </c>
    </row>
    <row r="23" ht="32" customHeight="1">
      <c r="A23" s="4" t="n">
        <v>20</v>
      </c>
      <c r="B23" s="3" t="inlineStr">
        <is>
          <t>P3</t>
        </is>
      </c>
      <c r="C23" s="5" t="inlineStr">
        <is>
          <t>Cozywise, BNI chapter, ASA Bay Area, Diamond Certified pursuit (separate decision)</t>
        </is>
      </c>
      <c r="D23" s="4" t="inlineStr">
        <is>
          <t>Jay (decision)</t>
        </is>
      </c>
      <c r="E23" s="4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65" customWidth="1" min="3" max="3"/>
  </cols>
  <sheetData>
    <row r="1">
      <c r="A1" s="1" t="inlineStr">
        <is>
          <t>Citation Audit Summary — Z and Z Plumbing — 2026-05-11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Total directories audited</t>
        </is>
      </c>
      <c r="B4" s="4">
        <f>COUNTA('2. Citation Audit'!A2:A29)</f>
        <v/>
      </c>
      <c r="C4" s="5" t="inlineStr">
        <is>
          <t>Live count from Citation Audit sheet</t>
        </is>
      </c>
    </row>
    <row r="5">
      <c r="A5" s="3" t="inlineStr">
        <is>
          <t>Listings needing fix (wrong NAP visible)</t>
        </is>
      </c>
      <c r="B5" s="4">
        <f>COUNTIF('2. Citation Audit'!P2:P29,"NEEDS-FIX")</f>
        <v/>
      </c>
      <c r="C5" s="5" t="inlineStr">
        <is>
          <t>Highest-priority; 1 fix per row</t>
        </is>
      </c>
    </row>
    <row r="6">
      <c r="A6" s="3" t="inlineStr">
        <is>
          <t>Listings needing claim (not yet claimed)</t>
        </is>
      </c>
      <c r="B6" s="4">
        <f>COUNTIF('2. Citation Audit'!P2:P29,"NEEDS-CLAIM")</f>
        <v/>
      </c>
      <c r="C6" s="5" t="inlineStr">
        <is>
          <t>Free citations to lock canonical NAP on day 1</t>
        </is>
      </c>
    </row>
    <row r="7">
      <c r="A7" s="3" t="inlineStr">
        <is>
          <t>Listings verified OK</t>
        </is>
      </c>
      <c r="B7" s="4">
        <f>COUNTIF('2. Citation Audit'!P2:P29,"OK")</f>
        <v/>
      </c>
      <c r="C7" s="5" t="inlineStr">
        <is>
          <t>No action needed</t>
        </is>
      </c>
    </row>
    <row r="8">
      <c r="A8" s="3" t="inlineStr">
        <is>
          <t>Listings to verify manually</t>
        </is>
      </c>
      <c r="B8" s="4">
        <f>COUNTIF('2. Citation Audit'!P2:P29,"VERIFY-MANUALLY")</f>
        <v/>
      </c>
      <c r="C8" s="5" t="inlineStr">
        <is>
          <t>Need a human eye on the live listing</t>
        </is>
      </c>
    </row>
    <row r="9">
      <c r="A9" s="3" t="inlineStr">
        <is>
          <t>Distinct addresses observed across all citations</t>
        </is>
      </c>
      <c r="B9" s="4" t="inlineStr">
        <is>
          <t>5</t>
        </is>
      </c>
      <c r="C9" s="5" t="inlineStr">
        <is>
          <t>(1) 3057 Teagarden San Leandro (site), (2) 3037 Teagarden San Leandro (CSLB), (3) 4050 MacArthur Oakland (Yelp/footer), (4) 2434 Teagarden San Leandro (some directories — unverified), (5) San Leandro 94577 city-only entries</t>
        </is>
      </c>
    </row>
    <row r="10">
      <c r="A10" s="3" t="inlineStr">
        <is>
          <t>Distinct phone numbers observed</t>
        </is>
      </c>
      <c r="B10" s="4" t="inlineStr">
        <is>
          <t>3</t>
        </is>
      </c>
      <c r="C10" s="5" t="inlineStr">
        <is>
          <t>(1) (510) 708-4237 canonical, (2) (341) 699-7090 Yelp tracking, (3) (925) 586-3212 buried in contact page footer link</t>
        </is>
      </c>
    </row>
    <row r="11">
      <c r="A11" s="3" t="inlineStr">
        <is>
          <t>Distinct brand spellings observed</t>
        </is>
      </c>
      <c r="B11" s="4" t="inlineStr">
        <is>
          <t>2</t>
        </is>
      </c>
      <c r="C11" s="5" t="inlineStr">
        <is>
          <t>(1) 'Z and Z Plumbing' (canonical per business-truth.md), (2) 'Z &amp; Z Plumbing' (BBB, Nextdoor, BuildZoom, Yahoo, RocketReach, Cience, ZoomInfo) — variance is significant for citation matching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2026-05-11T17:24:23Z</dcterms:created>
  <dcterms:modified xmlns:dcterms="http://purl.org/dc/terms/" xmlns:xsi="http://www.w3.org/2001/XMLSchema-instance" xsi:type="dcterms:W3CDTF">2026-05-11T17:24:23Z</dcterms:modified>
</cp:coreProperties>
</file>